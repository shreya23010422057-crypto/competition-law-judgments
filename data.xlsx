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anshuman/Downloads/VAC Assignment/Option 2 - Judgment Content Analysis/"/>
    </mc:Choice>
  </mc:AlternateContent>
  <xr:revisionPtr revIDLastSave="0" documentId="13_ncr:1_{6198AF83-D3CB-654E-9486-F74C913407CE}" xr6:coauthVersionLast="47" xr6:coauthVersionMax="47" xr10:uidLastSave="{00000000-0000-0000-0000-000000000000}"/>
  <bookViews>
    <workbookView xWindow="0" yWindow="660" windowWidth="29400" windowHeight="16980" activeTab="3" xr2:uid="{00000000-000D-0000-FFFF-FFFF00000000}"/>
  </bookViews>
  <sheets>
    <sheet name="Read Me" sheetId="1" r:id="rId1"/>
    <sheet name="Team" sheetId="2" r:id="rId2"/>
    <sheet name="Data" sheetId="3" r:id="rId3"/>
    <sheet name="Chart counts" sheetId="4" r:id="rId4"/>
    <sheet name="Vocabularies" sheetId="5" r:id="rId5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7" i="4" l="1"/>
  <c r="B36" i="4"/>
  <c r="B35" i="4"/>
  <c r="B34" i="4"/>
  <c r="B33" i="4"/>
  <c r="B30" i="4"/>
  <c r="B29" i="4"/>
  <c r="B28" i="4"/>
  <c r="B27" i="4"/>
  <c r="B26" i="4"/>
  <c r="B23" i="4"/>
  <c r="B22" i="4"/>
  <c r="B21" i="4"/>
  <c r="B20" i="4"/>
  <c r="B19" i="4"/>
  <c r="B16" i="4"/>
  <c r="B15" i="4"/>
  <c r="B14" i="4"/>
  <c r="B13" i="4"/>
  <c r="B10" i="4"/>
  <c r="B9" i="4"/>
  <c r="B8" i="4"/>
  <c r="B7" i="4"/>
  <c r="B6" i="4"/>
  <c r="B5" i="4"/>
</calcChain>
</file>

<file path=xl/sharedStrings.xml><?xml version="1.0" encoding="utf-8"?>
<sst xmlns="http://schemas.openxmlformats.org/spreadsheetml/2006/main" count="104" uniqueCount="62">
  <si>
    <t>Judgment Content Analysis · Dataset template</t>
  </si>
  <si>
    <t>How to use this file</t>
  </si>
  <si>
    <t>1. Fill the Team sheet.</t>
  </si>
  <si>
    <t>3. Pale yellow cells are yours to fill. Dropdown columns accept only the listed values (see the Vocabularies sheet). Do not add, delete or reorder columns.</t>
  </si>
  <si>
    <t>5. Read the Option 2 Guide for the column meanings, the charts, GitHub steps and the README.</t>
  </si>
  <si>
    <t>Team information</t>
  </si>
  <si>
    <t>Topic</t>
  </si>
  <si>
    <t>Court</t>
  </si>
  <si>
    <t>Team name</t>
  </si>
  <si>
    <t>GitHub repository link</t>
  </si>
  <si>
    <t>Member 1 · name and section</t>
  </si>
  <si>
    <t>Member 2 · name and section</t>
  </si>
  <si>
    <t>Member 3 · name and section (if any)</t>
  </si>
  <si>
    <t>Member 4 · name and section (if any)</t>
  </si>
  <si>
    <t>Date completed (DD-MM-YYYY)</t>
  </si>
  <si>
    <t>Data · one row per judgment</t>
  </si>
  <si>
    <t>Row 5 is a made-up example. Your judgments start at row 6. Enter 10 to 20 judgments decided between 01-09-2021 and 31-08-2026. See the Option 2 Guide, section 4.</t>
  </si>
  <si>
    <t>#</t>
  </si>
  <si>
    <t>Case name</t>
  </si>
  <si>
    <t>Citation or case number</t>
  </si>
  <si>
    <t>Date of decision (DD-MM-YYYY)</t>
  </si>
  <si>
    <t>Year</t>
  </si>
  <si>
    <t>Bench strength</t>
  </si>
  <si>
    <t>Type of case</t>
  </si>
  <si>
    <t>Who brought the case</t>
  </si>
  <si>
    <t>Outcome</t>
  </si>
  <si>
    <t>Who won</t>
  </si>
  <si>
    <t>Main provision</t>
  </si>
  <si>
    <t>Issue in one line</t>
  </si>
  <si>
    <t>Holding in one line</t>
  </si>
  <si>
    <t>Precedent chiefly relied on</t>
  </si>
  <si>
    <t>Source link (official copy)</t>
  </si>
  <si>
    <t>Coded by</t>
  </si>
  <si>
    <t>EX</t>
  </si>
  <si>
    <t>Example Petitioner v. State of Maharashtra (made-up)</t>
  </si>
  <si>
    <t>2024 INSC 000 (made-up)</t>
  </si>
  <si>
    <t>15-03-2024</t>
  </si>
  <si>
    <t>Criminal appeal</t>
  </si>
  <si>
    <t>Individual</t>
  </si>
  <si>
    <t>Allowed</t>
  </si>
  <si>
    <t>s 438 CrPC</t>
  </si>
  <si>
    <t>Whether anticipatory bail can be limited to a fixed period.</t>
  </si>
  <si>
    <t>Bail granted; protection ordinarily lasts till the end of trial.</t>
  </si>
  <si>
    <t>Sushila Aggarwal v. State (NCT of Delhi)</t>
  </si>
  <si>
    <t>https://www.sci.gov.in/judgements/ (made-up)</t>
  </si>
  <si>
    <t>A. Deshmukh</t>
  </si>
  <si>
    <t>Counts for your charts (these update automatically from the Data sheet)</t>
  </si>
  <si>
    <t>Select a table below, then Insert &gt; Chart in Excel or Google Sheets. Save each chart as PNG.</t>
  </si>
  <si>
    <t>Judgments</t>
  </si>
  <si>
    <t>Dismissed</t>
  </si>
  <si>
    <t>Partly allowed</t>
  </si>
  <si>
    <t>Other</t>
  </si>
  <si>
    <t>Company</t>
  </si>
  <si>
    <t>State or public body</t>
  </si>
  <si>
    <t>Association or NGO</t>
  </si>
  <si>
    <t>Mixed or unclear</t>
  </si>
  <si>
    <t>Writ petition</t>
  </si>
  <si>
    <t>Civil appeal</t>
  </si>
  <si>
    <t>SLP</t>
  </si>
  <si>
    <t>Lists used by the dropdowns (do not edit)</t>
  </si>
  <si>
    <t>2. In the Data sheet, enter one row per judgment starting at row 6. Row 5 is a made-up example showing the format; leave it as it is.</t>
  </si>
  <si>
    <t>4. When done, rename this file data.xlsx. Also save the Data sheet as data.csv (File &gt; Save As &gt; CSV). Upload both to your GitHub repository.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</si>
</sst>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6"/>
      <color rgb="FF1B2431"/>
      <name val="Arial"/>
      <family val="2"/>
    </font>
    <font>
      <sz val="9"/>
      <name val="Arial"/>
      <family val="2"/>
    </font>
    <font>
      <b/>
      <sz val="12"/>
      <color rgb="FF1B2431"/>
      <name val="Arial"/>
      <family val="2"/>
    </font>
    <font>
      <sz val="10"/>
      <name val="Arial"/>
      <family val="2"/>
    </font>
    <font>
      <b/>
      <sz val="14"/>
      <color rgb="FF1B2431"/>
      <name val="Arial"/>
      <family val="2"/>
    </font>
    <font>
      <b/>
      <sz val="10"/>
      <name val="Arial"/>
      <family val="2"/>
    </font>
    <font>
      <b/>
      <sz val="9"/>
      <color rgb="FFFFFFFF"/>
      <name val="Arial"/>
      <family val="2"/>
    </font>
    <font>
      <sz val="9"/>
      <color rgb="FF5A6472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7CC"/>
      </patternFill>
    </fill>
    <fill>
      <patternFill patternType="solid">
        <fgColor rgb="FF1B2431"/>
      </patternFill>
    </fill>
    <fill>
      <patternFill patternType="solid">
        <fgColor rgb="FFF2F2F0"/>
      </patternFill>
    </fill>
  </fills>
  <borders count="2">
    <border>
      <left/>
      <right/>
      <top/>
      <bottom/>
      <diagonal/>
    </border>
    <border>
      <left style="thin">
        <color rgb="FFD0D4D9"/>
      </left>
      <right style="thin">
        <color rgb="FFD0D4D9"/>
      </right>
      <top style="thin">
        <color rgb="FFD0D4D9"/>
      </top>
      <bottom style="thin">
        <color rgb="FFD0D4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/>
    <xf numFmtId="0" fontId="6" fillId="0" borderId="0" xfId="0" applyFont="1"/>
    <xf numFmtId="0" fontId="4" fillId="2" borderId="1" xfId="0" applyFont="1" applyFill="1" applyBorder="1"/>
    <xf numFmtId="0" fontId="8" fillId="0" borderId="0" xfId="0" applyFont="1"/>
    <xf numFmtId="0" fontId="7" fillId="3" borderId="0" xfId="0" applyFont="1" applyFill="1" applyAlignment="1">
      <alignment vertical="top" wrapText="1"/>
    </xf>
    <xf numFmtId="0" fontId="8" fillId="4" borderId="1" xfId="0" applyFont="1" applyFill="1" applyBorder="1" applyAlignment="1">
      <alignment vertical="top" wrapText="1"/>
    </xf>
    <xf numFmtId="0" fontId="2" fillId="0" borderId="0" xfId="0" applyFont="1"/>
    <xf numFmtId="0" fontId="2" fillId="2" borderId="1" xfId="0" applyFont="1" applyFill="1" applyBorder="1" applyAlignment="1">
      <alignment vertical="top" wrapText="1"/>
    </xf>
    <xf numFmtId="0" fontId="3" fillId="0" borderId="0" xfId="0" applyFont="1"/>
    <xf numFmtId="0" fontId="7" fillId="3" borderId="0" xfId="0" applyFont="1" applyFill="1"/>
    <xf numFmtId="0" fontId="9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9"/>
  <sheetViews>
    <sheetView workbookViewId="0">
      <selection activeCell="B21" sqref="B21"/>
    </sheetView>
  </sheetViews>
  <sheetFormatPr baseColWidth="10" defaultColWidth="8.83203125" defaultRowHeight="15" x14ac:dyDescent="0.2"/>
  <cols>
    <col min="1" max="1" width="3" customWidth="1"/>
    <col min="2" max="2" width="105" customWidth="1"/>
  </cols>
  <sheetData>
    <row r="2" spans="2:2" ht="36" customHeight="1" x14ac:dyDescent="0.2">
      <c r="B2" s="1" t="s">
        <v>0</v>
      </c>
    </row>
    <row r="3" spans="2:2" ht="16" customHeight="1" x14ac:dyDescent="0.2">
      <c r="B3" s="2"/>
    </row>
    <row r="4" spans="2:2" ht="18" customHeight="1" x14ac:dyDescent="0.2">
      <c r="B4" s="3" t="s">
        <v>1</v>
      </c>
    </row>
    <row r="5" spans="2:2" ht="16" customHeight="1" x14ac:dyDescent="0.2">
      <c r="B5" s="4" t="s">
        <v>2</v>
      </c>
    </row>
    <row r="6" spans="2:2" ht="30" customHeight="1" x14ac:dyDescent="0.2">
      <c r="B6" s="15" t="s">
        <v>60</v>
      </c>
    </row>
    <row r="7" spans="2:2" ht="30" customHeight="1" x14ac:dyDescent="0.2">
      <c r="B7" s="4" t="s">
        <v>3</v>
      </c>
    </row>
    <row r="8" spans="2:2" ht="30" customHeight="1" x14ac:dyDescent="0.2">
      <c r="B8" s="15" t="s">
        <v>61</v>
      </c>
    </row>
    <row r="9" spans="2:2" ht="16" customHeight="1" x14ac:dyDescent="0.2">
      <c r="B9" s="4" t="s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2"/>
  <sheetViews>
    <sheetView workbookViewId="0"/>
  </sheetViews>
  <sheetFormatPr baseColWidth="10" defaultColWidth="8.83203125" defaultRowHeight="15" x14ac:dyDescent="0.2"/>
  <cols>
    <col min="1" max="1" width="3" customWidth="1"/>
    <col min="2" max="2" width="32" customWidth="1"/>
    <col min="3" max="3" width="50" customWidth="1"/>
  </cols>
  <sheetData>
    <row r="2" spans="2:3" ht="18" x14ac:dyDescent="0.2">
      <c r="B2" s="5" t="s">
        <v>5</v>
      </c>
    </row>
    <row r="4" spans="2:3" x14ac:dyDescent="0.2">
      <c r="B4" s="6" t="s">
        <v>6</v>
      </c>
      <c r="C4" s="7" t="inlineStr">
        <is>
          <t xml:space="preserve">Competition law (Competition Act, 2002)</t>
        </is>
      </c>
    </row>
    <row r="5" spans="2:3" x14ac:dyDescent="0.2">
      <c r="B5" s="6" t="s">
        <v>7</v>
      </c>
      <c r="C5" s="7" t="inlineStr">
        <is>
          <t xml:space="preserve">Supreme Court of India</t>
        </is>
      </c>
    </row>
    <row r="6" spans="2:3" x14ac:dyDescent="0.2">
      <c r="B6" s="6" t="s">
        <v>8</v>
      </c>
      <c r="C6" s="7" t="inlineStr">
        <is>
          <t xml:space="preserve">Competition Law Team, Section C</t>
        </is>
      </c>
    </row>
    <row r="7" spans="2:3" x14ac:dyDescent="0.2">
      <c r="B7" s="6" t="s">
        <v>9</v>
      </c>
      <c r="C7" s="7" t="inlineStr">
        <is>
          <t xml:space="preserve">https://github.com/shreya23010422057-crypto/competition-law-judgments</t>
        </is>
      </c>
    </row>
    <row r="8" spans="2:3" x14ac:dyDescent="0.2">
      <c r="B8" s="6" t="s">
        <v>10</v>
      </c>
      <c r="C8" s="7" t="inlineStr">
        <is>
          <t xml:space="preserve">Shreya Kotecha, Section C</t>
        </is>
      </c>
    </row>
    <row r="9" spans="2:3" x14ac:dyDescent="0.2">
      <c r="B9" s="6" t="s">
        <v>11</v>
      </c>
      <c r="C9" s="7" t="inlineStr">
        <is>
          <t xml:space="preserve">Madhura Kulkarni, Section C</t>
        </is>
      </c>
    </row>
    <row r="10" spans="2:3" x14ac:dyDescent="0.2">
      <c r="B10" s="6" t="s">
        <v>12</v>
      </c>
      <c r="C10" s="7" t="inlineStr">
        <is>
          <t xml:space="preserve">Shankar Singh, Section C</t>
        </is>
      </c>
    </row>
    <row r="11" spans="2:3" x14ac:dyDescent="0.2">
      <c r="B11" s="6" t="s">
        <v>13</v>
      </c>
      <c r="C11" s="7" t="inlineStr">
        <is>
          <t xml:space="preserve">Not applicable (three-member team)</t>
        </is>
      </c>
    </row>
    <row r="12" spans="2:3" x14ac:dyDescent="0.2">
      <c r="B12" s="6" t="s">
        <v>14</v>
      </c>
      <c r="C12" s="7" t="inlineStr">
        <is>
          <t xml:space="preserve">30-10-2026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5"/>
  <sheetViews>
    <sheetView workbookViewId="0">
      <pane xSplit="2" ySplit="4" topLeftCell="D5" activePane="bottomRight" state="frozen"/>
      <selection pane="topRight"/>
      <selection pane="bottomLeft"/>
      <selection pane="bottomRight" activeCell="D7" sqref="D7"/>
    </sheetView>
  </sheetViews>
  <sheetFormatPr baseColWidth="10" defaultColWidth="8.83203125" defaultRowHeight="15" x14ac:dyDescent="0.2"/>
  <cols>
    <col min="1" max="1" width="4" customWidth="1"/>
    <col min="2" max="2" width="32" customWidth="1"/>
    <col min="3" max="3" width="22" customWidth="1"/>
    <col min="4" max="4" width="14" customWidth="1"/>
    <col min="5" max="5" width="7" customWidth="1"/>
    <col min="6" max="6" width="8" customWidth="1"/>
    <col min="7" max="7" width="16" customWidth="1"/>
    <col min="8" max="8" width="20" customWidth="1"/>
    <col min="9" max="9" width="14" customWidth="1"/>
    <col min="10" max="10" width="20" customWidth="1"/>
    <col min="11" max="11" width="18" customWidth="1"/>
    <col min="12" max="13" width="40" customWidth="1"/>
    <col min="14" max="14" width="28" customWidth="1"/>
    <col min="15" max="15" width="30" customWidth="1"/>
    <col min="16" max="16" width="16" customWidth="1"/>
  </cols>
  <sheetData>
    <row r="1" spans="1:16" ht="18" x14ac:dyDescent="0.2">
      <c r="A1" s="5" t="s">
        <v>15</v>
      </c>
    </row>
    <row r="2" spans="1:16" x14ac:dyDescent="0.2">
      <c r="A2" s="8" t="s">
        <v>16</v>
      </c>
    </row>
    <row r="4" spans="1:16" ht="36" customHeight="1" x14ac:dyDescent="0.2">
      <c r="A4" s="9" t="s">
        <v>17</v>
      </c>
      <c r="B4" s="9" t="s">
        <v>18</v>
      </c>
      <c r="C4" s="9" t="s">
        <v>19</v>
      </c>
      <c r="D4" s="9" t="s">
        <v>20</v>
      </c>
      <c r="E4" s="9" t="s">
        <v>21</v>
      </c>
      <c r="F4" s="9" t="s">
        <v>22</v>
      </c>
      <c r="G4" s="9" t="s">
        <v>23</v>
      </c>
      <c r="H4" s="9" t="s">
        <v>24</v>
      </c>
      <c r="I4" s="9" t="s">
        <v>25</v>
      </c>
      <c r="J4" s="9" t="s">
        <v>26</v>
      </c>
      <c r="K4" s="9" t="s">
        <v>27</v>
      </c>
      <c r="L4" s="9" t="s">
        <v>28</v>
      </c>
      <c r="M4" s="9" t="s">
        <v>29</v>
      </c>
      <c r="N4" s="9" t="s">
        <v>30</v>
      </c>
      <c r="O4" s="9" t="s">
        <v>31</v>
      </c>
      <c r="P4" s="9" t="s">
        <v>32</v>
      </c>
    </row>
    <row r="5" spans="1:16" ht="45" customHeight="1" x14ac:dyDescent="0.2">
      <c r="A5" s="10" t="s">
        <v>33</v>
      </c>
      <c r="B5" s="10" t="s">
        <v>34</v>
      </c>
      <c r="C5" s="10" t="s">
        <v>35</v>
      </c>
      <c r="D5" s="10" t="s">
        <v>36</v>
      </c>
      <c r="E5" s="10">
        <v>2024</v>
      </c>
      <c r="F5" s="10">
        <v>2</v>
      </c>
      <c r="G5" s="10" t="s">
        <v>37</v>
      </c>
      <c r="H5" s="10" t="s">
        <v>38</v>
      </c>
      <c r="I5" s="10" t="s">
        <v>39</v>
      </c>
      <c r="J5" s="10" t="s">
        <v>38</v>
      </c>
      <c r="K5" s="10" t="s">
        <v>40</v>
      </c>
      <c r="L5" s="10" t="s">
        <v>41</v>
      </c>
      <c r="M5" s="10" t="s">
        <v>42</v>
      </c>
      <c r="N5" s="10" t="s">
        <v>43</v>
      </c>
      <c r="O5" s="10" t="s">
        <v>44</v>
      </c>
      <c r="P5" s="10" t="s">
        <v>45</v>
      </c>
    </row>
    <row r="6" spans="1:16" ht="40" customHeight="1" x14ac:dyDescent="0.2">
      <c r="A6" s="11">
        <v>1</v>
      </c>
      <c r="B6" s="12" t="inlineStr">
        <is>
          <t xml:space="preserve">Competition Commission of India v. State of Mizoram &amp; Ors.</t>
        </is>
      </c>
      <c r="C6" s="12" t="inlineStr">
        <is>
          <t xml:space="preserve">Civil Appeal Nos. 10820-10822 of 2014 (with C.A. No. 1797 of 2015)</t>
        </is>
      </c>
      <c r="D6" s="12" t="inlineStr">
        <is>
          <t xml:space="preserve">19-01-2022</t>
        </is>
      </c>
      <c r="E6" s="12">
        <v>2022</v>
      </c>
      <c r="F6" s="12">
        <v>2</v>
      </c>
      <c r="G6" s="12" t="inlineStr">
        <is>
          <t xml:space="preserve">Civil appeal</t>
        </is>
      </c>
      <c r="H6" s="12" t="inlineStr">
        <is>
          <t xml:space="preserve">State or public body</t>
        </is>
      </c>
      <c r="I6" s="12" t="inlineStr">
        <is>
          <t xml:space="preserve">Allowed</t>
        </is>
      </c>
      <c r="J6" s="12" t="inlineStr">
        <is>
          <t xml:space="preserve">State or public body</t>
        </is>
      </c>
      <c r="K6" s="12" t="inlineStr">
        <is>
          <t xml:space="preserve">s 3(1) r/w s 3(3)(d) Competition Act (bid rigging); s 2(u) (service)</t>
        </is>
      </c>
      <c r="L6" s="12" t="inlineStr">
        <is>
          <t xml:space="preserve">Whether the CCI can inquire into bid rigging in tenders for lottery distributors when lotteries are res extra commercium.</t>
        </is>
      </c>
      <c r="M6" s="12" t="inlineStr">
        <is>
          <t xml:space="preserve">Yes. The regulated status of lotteries does not take collusive tendering out of the Act; the Gauhati HC judgment was set aside and the CCI inquiry against the bidders continues (paras 43-44).</t>
        </is>
      </c>
      <c r="N6" s="12" t="inlineStr">
        <is>
          <t xml:space="preserve">CCI v. Bharti Airtel Ltd. (2019) 2 SCC 521</t>
        </is>
      </c>
      <c r="O6" s="12" t="inlineStr">
        <is>
          <t xml:space="preserve">https://api.sci.gov.in/supremecourt/2014/31973/31973_2014_36_1501_32612_Judgement_19-Jan-2022.pdf</t>
        </is>
      </c>
      <c r="P6" s="12" t="inlineStr">
        <is>
          <t xml:space="preserve">Shreya Kotecha</t>
        </is>
      </c>
    </row>
    <row r="7" spans="1:16" ht="40" customHeight="1" x14ac:dyDescent="0.2">
      <c r="A7" s="11">
        <v>2</v>
      </c>
      <c r="B7" s="12" t="inlineStr">
        <is>
          <t xml:space="preserve">Coal India Ltd. &amp; Anr. v. Competition Commission of India &amp; Anr.</t>
        </is>
      </c>
      <c r="C7" s="12" t="inlineStr">
        <is>
          <t xml:space="preserve">Civil Appeal No. 2845 of 2017; (2023) 10 SCC 345</t>
        </is>
      </c>
      <c r="D7" s="12" t="inlineStr">
        <is>
          <t xml:space="preserve">15-06-2023</t>
        </is>
      </c>
      <c r="E7" s="12">
        <v>2023</v>
      </c>
      <c r="F7" s="12">
        <v>3</v>
      </c>
      <c r="G7" s="12" t="inlineStr">
        <is>
          <t xml:space="preserve">Civil appeal</t>
        </is>
      </c>
      <c r="H7" s="12" t="inlineStr">
        <is>
          <t xml:space="preserve">State or public body</t>
        </is>
      </c>
      <c r="I7" s="12" t="inlineStr">
        <is>
          <t xml:space="preserve">Other</t>
        </is>
      </c>
      <c r="J7" s="12" t="inlineStr">
        <is>
          <t xml:space="preserve">State or public body</t>
        </is>
      </c>
      <c r="K7" s="12" t="inlineStr">
        <is>
          <t xml:space="preserve">s 2(h) and s 4 r/w s 19(4)(g) Competition Act</t>
        </is>
      </c>
      <c r="L7" s="12" t="inlineStr">
        <is>
          <t xml:space="preserve">Whether the Competition Act applies to Coal India despite the Coal Mines (Nationalisation) Act, 1973 and Art 39(b).</t>
        </is>
      </c>
      <c r="M7" s="12" t="inlineStr">
        <is>
          <t xml:space="preserve">It does. A government company holding a statutory monopoly is an enterprise and is not exempt; the appeal was directed to be heard on its own merits (paras 125-126).</t>
        </is>
      </c>
      <c r="N7" s="12" t="inlineStr">
        <is>
          <t xml:space="preserve">Ashoka Smokeless Coal India (P) Ltd. v. Union of India (2007) 2 SCC 640</t>
        </is>
      </c>
      <c r="O7" s="12" t="inlineStr">
        <is>
          <t xml:space="preserve">https://api.sci.gov.in/supremecourt/2017/5094/5094_2017_6_1501_44710_Judgement_15-Jun-2023.pdf</t>
        </is>
      </c>
      <c r="P7" s="12" t="inlineStr">
        <is>
          <t xml:space="preserve">Shreya Kotecha</t>
        </is>
      </c>
    </row>
    <row r="8" spans="1:16" ht="40" customHeight="1" x14ac:dyDescent="0.2">
      <c r="A8" s="11">
        <v>3</v>
      </c>
      <c r="B8" s="12" t="inlineStr">
        <is>
          <t xml:space="preserve">Independent Sugar Corporation Ltd. v. Girish Sriram Juneja &amp; Ors.</t>
        </is>
      </c>
      <c r="C8" s="12" t="inlineStr">
        <is>
          <t xml:space="preserve">2025 INSC 124 (Civil Appeal No. 6071 of 2023 and connected appeals)</t>
        </is>
      </c>
      <c r="D8" s="12" t="inlineStr">
        <is>
          <t xml:space="preserve">29-01-2025</t>
        </is>
      </c>
      <c r="E8" s="12">
        <v>2025</v>
      </c>
      <c r="F8" s="12">
        <v>3</v>
      </c>
      <c r="G8" s="12" t="inlineStr">
        <is>
          <t xml:space="preserve">Civil appeal</t>
        </is>
      </c>
      <c r="H8" s="12" t="inlineStr">
        <is>
          <t xml:space="preserve">Company</t>
        </is>
      </c>
      <c r="I8" s="12" t="inlineStr">
        <is>
          <t xml:space="preserve">Allowed</t>
        </is>
      </c>
      <c r="J8" s="12" t="inlineStr">
        <is>
          <t xml:space="preserve">Company</t>
        </is>
      </c>
      <c r="K8" s="12" t="inlineStr">
        <is>
          <t xml:space="preserve">proviso to s 31(4) IBC r/w ss 6 and 29 Competition Act</t>
        </is>
      </c>
      <c r="L8" s="12" t="inlineStr">
        <is>
          <t xml:space="preserve">Whether CCI approval of a combination must be obtained before the CoC approves an insolvency resolution plan.</t>
        </is>
      </c>
      <c r="M8" s="12" t="inlineStr">
        <is>
          <t xml:space="preserve">Prior CCI approval is mandatory, not directory. The AGI Greenpac plan was quashed and the CoC directed to reconsider plans that had CCI approval (paras 155-158; S.V.N. Bhatti J. wrote separately).</t>
        </is>
      </c>
      <c r="N8" s="12" t="inlineStr">
        <is>
          <t xml:space="preserve">Committee of Creditors of Essar Steel India Ltd. v. Satish Kumar Gupta (2020) 8 SCC 531</t>
        </is>
      </c>
      <c r="O8" s="12" t="inlineStr">
        <is>
          <t xml:space="preserve">https://api.sci.gov.in/supremecourt/2023/38828/38828_2023_4_1503_59041_Judgement_29-Jan-2025.pdf</t>
        </is>
      </c>
      <c r="P8" s="12" t="inlineStr">
        <is>
          <t xml:space="preserve">Shreya Kotecha</t>
        </is>
      </c>
    </row>
    <row r="9" spans="1:16" ht="40" customHeight="1" x14ac:dyDescent="0.2">
      <c r="A9" s="11">
        <v>4</v>
      </c>
      <c r="B9" s="12" t="inlineStr">
        <is>
          <t xml:space="preserve">Competition Commission of India v. Schott Glass India Pvt. Ltd. &amp; Anr.</t>
        </is>
      </c>
      <c r="C9" s="12" t="inlineStr">
        <is>
          <t xml:space="preserve">2025 INSC 668 (Civil Appeal No. 5843 of 2014 with C.A. No. 9998 of 2014)</t>
        </is>
      </c>
      <c r="D9" s="12" t="inlineStr">
        <is>
          <t xml:space="preserve">13-05-2025</t>
        </is>
      </c>
      <c r="E9" s="12">
        <v>2025</v>
      </c>
      <c r="F9" s="12">
        <v>2</v>
      </c>
      <c r="G9" s="12" t="inlineStr">
        <is>
          <t xml:space="preserve">Civil appeal</t>
        </is>
      </c>
      <c r="H9" s="12" t="inlineStr">
        <is>
          <t xml:space="preserve">State or public body</t>
        </is>
      </c>
      <c r="I9" s="12" t="inlineStr">
        <is>
          <t xml:space="preserve">Dismissed</t>
        </is>
      </c>
      <c r="J9" s="12" t="inlineStr">
        <is>
          <t xml:space="preserve">Company</t>
        </is>
      </c>
      <c r="K9" s="12" t="inlineStr">
        <is>
          <t xml:space="preserve">s 4(2)(a), (b), (d) and (e) Competition Act; s 36(2) (cross-examination)</t>
        </is>
      </c>
      <c r="L9" s="12" t="inlineStr">
        <is>
          <t xml:space="preserve">Whether Schott's volume rebates, long-term supply agreement and alleged tying were an abuse of dominant position.</t>
        </is>
      </c>
      <c r="M9" s="12" t="inlineStr">
        <is>
          <t xml:space="preserve">No abuse established. An effects-based analysis is obligatory in every s 4 inquiry (para 66(i)), and refusing cross-examination vitiated the DG's findings (paras 75, 77); appeals dismissed (para 79).</t>
        </is>
      </c>
      <c r="N9" s="12" t="inlineStr">
        <is>
          <t xml:space="preserve">Excel Crop Care Ltd. v. CCI (2017) 8 SCC 47</t>
        </is>
      </c>
      <c r="O9" s="12" t="inlineStr">
        <is>
          <t xml:space="preserve">https://api.sci.gov.in/supremecourt/2014/19707/19707_2014_5_1501_61745_Judgement_13-May-2025.pdf</t>
        </is>
      </c>
      <c r="P9" s="12" t="inlineStr">
        <is>
          <t xml:space="preserve">Shreya Kotecha</t>
        </is>
      </c>
    </row>
    <row r="10" spans="1:16" ht="40" customHeight="1" x14ac:dyDescent="0.2">
      <c r="A10" s="11">
        <v>5</v>
      </c>
      <c r="B10" s="12" t="inlineStr">
        <is>
          <t xml:space="preserve">Competition Commission of India v. Independent Sugar Corporation Ltd. &amp; Anr.</t>
        </is>
      </c>
      <c r="C10" s="12" t="inlineStr">
        <is>
          <t xml:space="preserve">R.P.(C) No. 482 of 2025 in Civil Appeal No. 4924 of 2023</t>
        </is>
      </c>
      <c r="D10" s="12" t="inlineStr">
        <is>
          <t xml:space="preserve">16-05-2025</t>
        </is>
      </c>
      <c r="E10" s="12">
        <v>2025</v>
      </c>
      <c r="F10" s="12">
        <v>3</v>
      </c>
      <c r="G10" s="12" t="inlineStr">
        <is>
          <t xml:space="preserve">Other</t>
        </is>
      </c>
      <c r="H10" s="12" t="inlineStr">
        <is>
          <t xml:space="preserve">State or public body</t>
        </is>
      </c>
      <c r="I10" s="12" t="inlineStr">
        <is>
          <t xml:space="preserve">Allowed</t>
        </is>
      </c>
      <c r="J10" s="12" t="inlineStr">
        <is>
          <t xml:space="preserve">State or public body</t>
        </is>
      </c>
      <c r="K10" s="12" t="inlineStr">
        <is>
          <t xml:space="preserve">s 29(1) and s 29(1A) Competition Act; Reg 25(1A) Combination Regulations</t>
        </is>
      </c>
      <c r="L10" s="12" t="inlineStr">
        <is>
          <t xml:space="preserve">Whether s 29 requires the CCI to send every combination to the DG after issuing a show cause notice.</t>
        </is>
      </c>
      <c r="M10" s="12" t="inlineStr">
        <is>
          <t xml:space="preserve">No. A show cause notice under s 29(1) is mandatory, but a DG reference under s 29(1A) is discretionary; paras 128-131 of the 29-01-2025 judgment were replaced by paras 10-11 of the review order.</t>
        </is>
      </c>
      <c r="N10" s="12" t="inlineStr">
        <is>
          <t xml:space="preserve">P.T. Rajan v. T.P.M. Sahir (2003) 8 SCC 498</t>
        </is>
      </c>
      <c r="O10" s="12" t="inlineStr">
        <is>
          <t xml:space="preserve">https://api.sci.gov.in/supremecourt/2025/10627/10627_2025_7_301_61956_Order_16-May-2025.pdf</t>
        </is>
      </c>
      <c r="P10" s="12" t="inlineStr">
        <is>
          <t xml:space="preserve">Shreya Kotecha</t>
        </is>
      </c>
    </row>
    <row r="11" spans="1:16" ht="40" customHeight="1" x14ac:dyDescent="0.2">
      <c r="A11" s="11">
        <v>6</v>
      </c>
      <c r="B11" s="12" t="inlineStr">
        <is>
          <t xml:space="preserve">Competition Commission of India v. Monsanto Holdings Pvt. Ltd. &amp; Ors.</t>
        </is>
      </c>
      <c r="C11" s="12" t="inlineStr">
        <is>
          <t xml:space="preserve">SLP(C) No. 25026 of 2023 with SLP(C) Nos. 12209, 6934, 5871 and 5870 of 2024</t>
        </is>
      </c>
      <c r="D11" s="12" t="inlineStr">
        <is>
          <t xml:space="preserve">02-09-2025</t>
        </is>
      </c>
      <c r="E11" s="12">
        <v>2025</v>
      </c>
      <c r="F11" s="12">
        <v>2</v>
      </c>
      <c r="G11" s="12" t="inlineStr">
        <is>
          <t xml:space="preserve">SLP</t>
        </is>
      </c>
      <c r="H11" s="12" t="inlineStr">
        <is>
          <t xml:space="preserve">State or public body</t>
        </is>
      </c>
      <c r="I11" s="12" t="inlineStr">
        <is>
          <t xml:space="preserve">Dismissed</t>
        </is>
      </c>
      <c r="J11" s="12" t="inlineStr">
        <is>
          <t xml:space="preserve">Company</t>
        </is>
      </c>
      <c r="K11" s="12" t="inlineStr">
        <is>
          <t xml:space="preserve">s 26(1) Competition Act; Patents Act, 1970</t>
        </is>
      </c>
      <c r="L11" s="12" t="inlineStr">
        <is>
          <t xml:space="preserve">Whether the CCI probe into patent licensing terms could continue after the informants settled with the patentees.</t>
        </is>
      </c>
      <c r="M11" s="12" t="inlineStr">
        <is>
          <t xml:space="preserve">The Court declined to interfere with the Delhi HC judgment of 13-07-2023, accepting that the settlement removed the substratum of the probe, and kept the Patents Act versus Competition Act question open.</t>
        </is>
      </c>
      <c r="N11" s="12" t="inlineStr">
        <is>
          <t xml:space="preserve">Telefonaktiebolaget LM Ericsson v. CCI (Delhi HC, LPA 247 of 2016, 13-07-2023), para 58</t>
        </is>
      </c>
      <c r="O11" s="12" t="inlineStr">
        <is>
          <t xml:space="preserve">https://api.sci.gov.in/supremecourt/2023/42349/42349_2023_6_13_63887_Order_02-Sep-2025.pdf</t>
        </is>
      </c>
      <c r="P11" s="12" t="inlineStr">
        <is>
          <t xml:space="preserve">Shreya Kotecha</t>
        </is>
      </c>
    </row>
    <row r="12" spans="1:16" ht="40" customHeight="1" x14ac:dyDescent="0.2">
      <c r="A12" s="11">
        <v>7</v>
      </c>
      <c r="B12" s="12" t="inlineStr">
        <is>
          <t xml:space="preserve">Competition Commission of India v. Kerala Film Exhibitors Federation &amp; Ors.</t>
        </is>
      </c>
      <c r="C12" s="12" t="inlineStr">
        <is>
          <t xml:space="preserve">2025 INSC 1167 (Civil Appeal No. 9726 of 2016)</t>
        </is>
      </c>
      <c r="D12" s="12" t="inlineStr">
        <is>
          <t xml:space="preserve">26-09-2025</t>
        </is>
      </c>
      <c r="E12" s="12">
        <v>2025</v>
      </c>
      <c r="F12" s="12">
        <v>2</v>
      </c>
      <c r="G12" s="12" t="inlineStr">
        <is>
          <t xml:space="preserve">Civil appeal</t>
        </is>
      </c>
      <c r="H12" s="12" t="inlineStr">
        <is>
          <t xml:space="preserve">State or public body</t>
        </is>
      </c>
      <c r="I12" s="12" t="inlineStr">
        <is>
          <t xml:space="preserve">Allowed</t>
        </is>
      </c>
      <c r="J12" s="12" t="inlineStr">
        <is>
          <t xml:space="preserve">State or public body</t>
        </is>
      </c>
      <c r="K12" s="12" t="inlineStr">
        <is>
          <t xml:space="preserve">s 3(1) r/w s 3(3)(b), s 27 and s 48 Competition Act (pre-2023 text)</t>
        </is>
      </c>
      <c r="L12" s="12" t="inlineStr">
        <is>
          <t xml:space="preserve">Whether office-bearers of a trade association were entitled to a second show cause notice on penalty, and whether the penalty was disproportionate.</t>
        </is>
      </c>
      <c r="M12" s="12" t="inlineStr">
        <is>
          <t xml:space="preserve">One notice was enough and the penalty was proportionate (paras 52, 64). The COMPAT order was set aside and the CCI order of 08-09-2015, including the two-year bar on the office-bearers, was restored (para 68).</t>
        </is>
      </c>
      <c r="N12" s="12" t="inlineStr">
        <is>
          <t xml:space="preserve">Excel Crop Care Ltd. v. CCI (2017) 8 SCC 47</t>
        </is>
      </c>
      <c r="O12" s="12" t="inlineStr">
        <is>
          <t xml:space="preserve">https://api.sci.gov.in/supremecourt/2016/24408/24408_2016_8_1501_64646_Judgement_26-Sep-2025.pdf</t>
        </is>
      </c>
      <c r="P12" s="12" t="inlineStr">
        <is>
          <t xml:space="preserve">Shreya Kotecha</t>
        </is>
      </c>
    </row>
    <row r="13" spans="1:16" ht="40" customHeight="1" x14ac:dyDescent="0.2">
      <c r="A13" s="11">
        <v>8</v>
      </c>
      <c r="B13" s="12" t="inlineStr">
        <is>
          <t xml:space="preserve">Flipkart India Pvt. Ltd. &amp; Anr. v. Competition Commission of India &amp; Anr.</t>
        </is>
      </c>
      <c r="C13" s="12" t="inlineStr">
        <is>
          <t xml:space="preserve">Civil Appeal No. 2770 of 2020</t>
        </is>
      </c>
      <c r="D13" s="12" t="inlineStr">
        <is>
          <t xml:space="preserve">03-02-2026</t>
        </is>
      </c>
      <c r="E13" s="12">
        <v>2026</v>
      </c>
      <c r="F13" s="12">
        <v>3</v>
      </c>
      <c r="G13" s="12" t="inlineStr">
        <is>
          <t xml:space="preserve">Civil appeal</t>
        </is>
      </c>
      <c r="H13" s="12" t="inlineStr">
        <is>
          <t xml:space="preserve">Company</t>
        </is>
      </c>
      <c r="I13" s="12" t="inlineStr">
        <is>
          <t xml:space="preserve">Partly allowed</t>
        </is>
      </c>
      <c r="J13" s="12" t="inlineStr">
        <is>
          <t xml:space="preserve">Company</t>
        </is>
      </c>
      <c r="K13" s="12" t="inlineStr">
        <is>
          <t xml:space="preserve">s 4 r/w s 26(1) and s 53B Competition Act</t>
        </is>
      </c>
      <c r="L13" s="12" t="inlineStr">
        <is>
          <t xml:space="preserve">Whether the NCLAT's direction for a DG investigation into Flipkart could stand when it rested on an income tax assessment order no longer in existence.</t>
        </is>
      </c>
      <c r="M13" s="12" t="inlineStr">
        <is>
          <t xml:space="preserve">Appeal allowed in part. The NCLAT order of 04-03-2020 was set aside and the appeal remanded for fresh decision on whether a prima facie case exists, applying Coal India; no view on merits.</t>
        </is>
      </c>
      <c r="N13" s="12" t="inlineStr">
        <is>
          <t xml:space="preserve">Coal India Ltd. v. CCI (2023) 10 SCC 345</t>
        </is>
      </c>
      <c r="O13" s="12" t="inlineStr">
        <is>
          <t xml:space="preserve">https://api.sci.gov.in/supremecourt/2020/10296/10296_2020_1_16_67887_Order_03-Feb-2026.pdf</t>
        </is>
      </c>
      <c r="P13" s="12" t="inlineStr">
        <is>
          <t xml:space="preserve">Shreya Kotecha</t>
        </is>
      </c>
    </row>
    <row r="14" spans="1:16" ht="40" customHeight="1" x14ac:dyDescent="0.2">
      <c r="A14" s="11">
        <v>9</v>
      </c>
      <c r="B14" s="12" t="inlineStr">
        <is>
          <t xml:space="preserve">Amazon.com NV Investment Holdings LLC v. Competition Commission of India &amp; Ors.</t>
        </is>
      </c>
      <c r="C14" s="12" t="inlineStr">
        <is>
          <t xml:space="preserve">2026 INSC 576 (Civil Appeal No. 4974 of 2022)</t>
        </is>
      </c>
      <c r="D14" s="12" t="inlineStr">
        <is>
          <t xml:space="preserve">27-05-2026</t>
        </is>
      </c>
      <c r="E14" s="12">
        <v>2026</v>
      </c>
      <c r="F14" s="12">
        <v>2</v>
      </c>
      <c r="G14" s="12" t="inlineStr">
        <is>
          <t xml:space="preserve">Civil appeal</t>
        </is>
      </c>
      <c r="H14" s="12" t="inlineStr">
        <is>
          <t xml:space="preserve">Company</t>
        </is>
      </c>
      <c r="I14" s="12" t="inlineStr">
        <is>
          <t xml:space="preserve">Allowed</t>
        </is>
      </c>
      <c r="J14" s="12" t="inlineStr">
        <is>
          <t xml:space="preserve">Company</t>
        </is>
      </c>
      <c r="K14" s="12" t="inlineStr">
        <is>
          <t xml:space="preserve">s 45(2) r/w proviso to s 20(1), s 31(1), ss 43A and 44 Competition Act; Reg 5(5) Combination Regulations</t>
        </is>
      </c>
      <c r="L14" s="12" t="inlineStr">
        <is>
          <t xml:space="preserve">Whether the CCI could hold its 2019 approval of the Amazon-Future Coupons combination in abeyance and impose penalties for incomplete disclosure.</t>
        </is>
      </c>
      <c r="M14" s="12" t="inlineStr">
        <is>
          <t xml:space="preserve">No. s 45(2) is a penal provision and gives no power to suspend or reopen an approval, and the action was outside the one-year limit in s 20(1). The NCLAT and CCI orders were set aside and deposits ordered refunded with 6% interest (paras 303-305).</t>
        </is>
      </c>
      <c r="N14" s="12" t="inlineStr">
        <is>
          <t xml:space="preserve">Gorkha Security Services v. Govt. (NCT of Delhi) (2014) 9 SCC 105</t>
        </is>
      </c>
      <c r="O14" s="12" t="inlineStr">
        <is>
          <t xml:space="preserve">https://api.sci.gov.in/supremecourt/2022/22360/22360_2022_2_1501_71618_Judgement_27-May-2026.pdf</t>
        </is>
      </c>
      <c r="P14" s="12" t="inlineStr">
        <is>
          <t xml:space="preserve">Shreya Kotecha</t>
        </is>
      </c>
    </row>
    <row r="15" spans="1:16" ht="40" customHeight="1" x14ac:dyDescent="0.2">
      <c r="A15" s="11">
        <v>10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</row>
    <row r="16" spans="1:16" ht="40" customHeight="1" x14ac:dyDescent="0.2">
      <c r="A16" s="11">
        <v>11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</row>
    <row r="17" spans="1:16" ht="40" customHeight="1" x14ac:dyDescent="0.2">
      <c r="A17" s="11">
        <v>12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</row>
    <row r="18" spans="1:16" ht="40" customHeight="1" x14ac:dyDescent="0.2">
      <c r="A18" s="11">
        <v>13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</row>
    <row r="19" spans="1:16" ht="40" customHeight="1" x14ac:dyDescent="0.2">
      <c r="A19" s="11">
        <v>14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</row>
    <row r="20" spans="1:16" ht="40" customHeight="1" x14ac:dyDescent="0.2">
      <c r="A20" s="11">
        <v>15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</row>
    <row r="21" spans="1:16" ht="40" customHeight="1" x14ac:dyDescent="0.2">
      <c r="A21" s="11">
        <v>16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</row>
    <row r="22" spans="1:16" ht="40" customHeight="1" x14ac:dyDescent="0.2">
      <c r="A22" s="11">
        <v>17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</row>
    <row r="23" spans="1:16" ht="40" customHeight="1" x14ac:dyDescent="0.2">
      <c r="A23" s="11">
        <v>18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</row>
    <row r="24" spans="1:16" ht="40" customHeight="1" x14ac:dyDescent="0.2">
      <c r="A24" s="11">
        <v>19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</row>
    <row r="25" spans="1:16" ht="40" customHeight="1" x14ac:dyDescent="0.2">
      <c r="A25" s="11">
        <v>20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</row>
  </sheetData>
  <dataValidations count="1">
    <dataValidation type="whole" showErrorMessage="1" errorTitle="Year" error="Enter a year between 2021 and 2026 as a number." sqref="E6:E25" xr:uid="{00000000-0002-0000-0200-000004000000}">
      <formula1>2021</formula1>
      <formula2>2026</formula2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errorTitle="Pick from the list" error="Choose one of the listed values (see Vocabularies sheet)." xr:uid="{00000000-0002-0000-0200-000000000000}">
          <x14:formula1>
            <xm:f>Vocabularies!$A$3:$A$7</xm:f>
          </x14:formula1>
          <xm:sqref>G6:G25</xm:sqref>
        </x14:dataValidation>
        <x14:dataValidation type="list" allowBlank="1" showErrorMessage="1" errorTitle="Pick from the list" error="Choose one of the listed values (see Vocabularies sheet)." xr:uid="{00000000-0002-0000-0200-000001000000}">
          <x14:formula1>
            <xm:f>Vocabularies!$B$3:$B$7</xm:f>
          </x14:formula1>
          <xm:sqref>H6:H25</xm:sqref>
        </x14:dataValidation>
        <x14:dataValidation type="list" allowBlank="1" showErrorMessage="1" errorTitle="Pick from the list" error="Choose one of the listed values (see Vocabularies sheet)." xr:uid="{00000000-0002-0000-0200-000002000000}">
          <x14:formula1>
            <xm:f>Vocabularies!$C$3:$C$6</xm:f>
          </x14:formula1>
          <xm:sqref>I6:I25</xm:sqref>
        </x14:dataValidation>
        <x14:dataValidation type="list" allowBlank="1" showErrorMessage="1" errorTitle="Pick from the list" error="Choose one of the listed values (see Vocabularies sheet)." xr:uid="{00000000-0002-0000-0200-000003000000}">
          <x14:formula1>
            <xm:f>Vocabularies!$D$3:$D$7</xm:f>
          </x14:formula1>
          <xm:sqref>J6:J25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7"/>
  <sheetViews>
    <sheetView tabSelected="1" workbookViewId="0">
      <selection activeCell="B26" sqref="B26"/>
    </sheetView>
  </sheetViews>
  <sheetFormatPr baseColWidth="10" defaultColWidth="8.83203125" defaultRowHeight="15" x14ac:dyDescent="0.2"/>
  <cols>
    <col min="1" max="1" width="26" customWidth="1"/>
    <col min="2" max="2" width="12" customWidth="1"/>
  </cols>
  <sheetData>
    <row r="1" spans="1:2" ht="16" x14ac:dyDescent="0.2">
      <c r="A1" s="13" t="s">
        <v>46</v>
      </c>
    </row>
    <row r="2" spans="1:2" x14ac:dyDescent="0.2">
      <c r="A2" s="8" t="s">
        <v>47</v>
      </c>
    </row>
    <row r="4" spans="1:2" x14ac:dyDescent="0.2">
      <c r="A4" s="14" t="s">
        <v>21</v>
      </c>
      <c r="B4" s="14" t="s">
        <v>48</v>
      </c>
    </row>
    <row r="5" spans="1:2" x14ac:dyDescent="0.2">
      <c r="A5" s="11">
        <v>2021</v>
      </c>
      <c r="B5" s="11">
        <f>COUNTIF(Data!E$6:E$25,A5)</f>
        <v>0</v>
      </c>
    </row>
    <row r="6" spans="1:2" x14ac:dyDescent="0.2">
      <c r="A6" s="11">
        <v>2022</v>
      </c>
      <c r="B6" s="11">
        <f>COUNTIF(Data!E$6:E$25,A6)</f>
        <v>1</v>
      </c>
    </row>
    <row r="7" spans="1:2" x14ac:dyDescent="0.2">
      <c r="A7" s="11">
        <v>2023</v>
      </c>
      <c r="B7" s="11">
        <f>COUNTIF(Data!E$6:E$25,A7)</f>
        <v>1</v>
      </c>
    </row>
    <row r="8" spans="1:2" x14ac:dyDescent="0.2">
      <c r="A8" s="11">
        <v>2024</v>
      </c>
      <c r="B8" s="11">
        <f>COUNTIF(Data!E$6:E$25,A8)</f>
        <v>0</v>
      </c>
    </row>
    <row r="9" spans="1:2" x14ac:dyDescent="0.2">
      <c r="A9" s="11">
        <v>2025</v>
      </c>
      <c r="B9" s="11">
        <f>COUNTIF(Data!E$6:E$25,A9)</f>
        <v>5</v>
      </c>
    </row>
    <row r="10" spans="1:2" x14ac:dyDescent="0.2">
      <c r="A10" s="11">
        <v>2026</v>
      </c>
      <c r="B10" s="11">
        <f>COUNTIF(Data!E$6:E$25,A10)</f>
        <v>2</v>
      </c>
    </row>
    <row r="12" spans="1:2" x14ac:dyDescent="0.2">
      <c r="A12" s="14" t="s">
        <v>25</v>
      </c>
      <c r="B12" s="14" t="s">
        <v>48</v>
      </c>
    </row>
    <row r="13" spans="1:2" x14ac:dyDescent="0.2">
      <c r="A13" s="11" t="s">
        <v>39</v>
      </c>
      <c r="B13" s="11">
        <f>COUNTIF(Data!I$6:I$25,A13)</f>
        <v>5</v>
      </c>
    </row>
    <row r="14" spans="1:2" x14ac:dyDescent="0.2">
      <c r="A14" s="11" t="s">
        <v>49</v>
      </c>
      <c r="B14" s="11">
        <f>COUNTIF(Data!I$6:I$25,A14)</f>
        <v>2</v>
      </c>
    </row>
    <row r="15" spans="1:2" x14ac:dyDescent="0.2">
      <c r="A15" s="11" t="s">
        <v>50</v>
      </c>
      <c r="B15" s="11">
        <f>COUNTIF(Data!I$6:I$25,A15)</f>
        <v>1</v>
      </c>
    </row>
    <row r="16" spans="1:2" x14ac:dyDescent="0.2">
      <c r="A16" s="11" t="s">
        <v>51</v>
      </c>
      <c r="B16" s="11">
        <f>COUNTIF(Data!I$6:I$25,A16)</f>
        <v>1</v>
      </c>
    </row>
    <row r="18" spans="1:2" x14ac:dyDescent="0.2">
      <c r="A18" s="14" t="s">
        <v>24</v>
      </c>
      <c r="B18" s="14" t="s">
        <v>48</v>
      </c>
    </row>
    <row r="19" spans="1:2" x14ac:dyDescent="0.2">
      <c r="A19" s="11" t="s">
        <v>38</v>
      </c>
      <c r="B19" s="11">
        <f>COUNTIF(Data!H$6:H$25,A19)</f>
        <v>0</v>
      </c>
    </row>
    <row r="20" spans="1:2" x14ac:dyDescent="0.2">
      <c r="A20" s="11" t="s">
        <v>52</v>
      </c>
      <c r="B20" s="11">
        <f>COUNTIF(Data!H$6:H$25,A20)</f>
        <v>3</v>
      </c>
    </row>
    <row r="21" spans="1:2" x14ac:dyDescent="0.2">
      <c r="A21" s="11" t="s">
        <v>53</v>
      </c>
      <c r="B21" s="11">
        <f>COUNTIF(Data!H$6:H$25,A21)</f>
        <v>6</v>
      </c>
    </row>
    <row r="22" spans="1:2" x14ac:dyDescent="0.2">
      <c r="A22" s="11" t="s">
        <v>54</v>
      </c>
      <c r="B22" s="11">
        <f>COUNTIF(Data!H$6:H$25,A22)</f>
        <v>0</v>
      </c>
    </row>
    <row r="23" spans="1:2" x14ac:dyDescent="0.2">
      <c r="A23" s="11" t="s">
        <v>51</v>
      </c>
      <c r="B23" s="11">
        <f>COUNTIF(Data!H$6:H$25,A23)</f>
        <v>0</v>
      </c>
    </row>
    <row r="25" spans="1:2" x14ac:dyDescent="0.2">
      <c r="A25" s="14" t="s">
        <v>26</v>
      </c>
      <c r="B25" s="14" t="s">
        <v>48</v>
      </c>
    </row>
    <row r="26" spans="1:2" x14ac:dyDescent="0.2">
      <c r="A26" s="11" t="s">
        <v>38</v>
      </c>
      <c r="B26" s="11">
        <f>COUNTIF(Data!J$6:J$25,A26)</f>
        <v>0</v>
      </c>
    </row>
    <row r="27" spans="1:2" x14ac:dyDescent="0.2">
      <c r="A27" s="11" t="s">
        <v>52</v>
      </c>
      <c r="B27" s="11">
        <f>COUNTIF(Data!J$6:J$25,A27)</f>
        <v>5</v>
      </c>
    </row>
    <row r="28" spans="1:2" x14ac:dyDescent="0.2">
      <c r="A28" s="11" t="s">
        <v>53</v>
      </c>
      <c r="B28" s="11">
        <f>COUNTIF(Data!J$6:J$25,A28)</f>
        <v>4</v>
      </c>
    </row>
    <row r="29" spans="1:2" x14ac:dyDescent="0.2">
      <c r="A29" s="11" t="s">
        <v>54</v>
      </c>
      <c r="B29" s="11">
        <f>COUNTIF(Data!J$6:J$25,A29)</f>
        <v>0</v>
      </c>
    </row>
    <row r="30" spans="1:2" x14ac:dyDescent="0.2">
      <c r="A30" s="11" t="s">
        <v>55</v>
      </c>
      <c r="B30" s="11">
        <f>COUNTIF(Data!J$6:J$25,A30)</f>
        <v>0</v>
      </c>
    </row>
    <row r="32" spans="1:2" x14ac:dyDescent="0.2">
      <c r="A32" s="14" t="s">
        <v>23</v>
      </c>
      <c r="B32" s="14" t="s">
        <v>48</v>
      </c>
    </row>
    <row r="33" spans="1:2" x14ac:dyDescent="0.2">
      <c r="A33" s="11" t="s">
        <v>56</v>
      </c>
      <c r="B33" s="11">
        <f>COUNTIF(Data!G$6:G$25,A33)</f>
        <v>0</v>
      </c>
    </row>
    <row r="34" spans="1:2" x14ac:dyDescent="0.2">
      <c r="A34" s="11" t="s">
        <v>57</v>
      </c>
      <c r="B34" s="11">
        <f>COUNTIF(Data!G$6:G$25,A34)</f>
        <v>7</v>
      </c>
    </row>
    <row r="35" spans="1:2" x14ac:dyDescent="0.2">
      <c r="A35" s="11" t="s">
        <v>37</v>
      </c>
      <c r="B35" s="11">
        <f>COUNTIF(Data!G$6:G$25,A35)</f>
        <v>0</v>
      </c>
    </row>
    <row r="36" spans="1:2" x14ac:dyDescent="0.2">
      <c r="A36" s="11" t="s">
        <v>58</v>
      </c>
      <c r="B36" s="11">
        <f>COUNTIF(Data!G$6:G$25,A36)</f>
        <v>1</v>
      </c>
    </row>
    <row r="37" spans="1:2" x14ac:dyDescent="0.2">
      <c r="A37" s="11" t="s">
        <v>51</v>
      </c>
      <c r="B37" s="11">
        <f>COUNTIF(Data!G$6:G$25,A37)</f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"/>
  <sheetViews>
    <sheetView workbookViewId="0"/>
  </sheetViews>
  <sheetFormatPr baseColWidth="10" defaultColWidth="8.83203125" defaultRowHeight="15" x14ac:dyDescent="0.2"/>
  <cols>
    <col min="1" max="4" width="26" customWidth="1"/>
  </cols>
  <sheetData>
    <row r="1" spans="1:4" ht="16" x14ac:dyDescent="0.2">
      <c r="A1" s="13" t="s">
        <v>59</v>
      </c>
    </row>
    <row r="2" spans="1:4" x14ac:dyDescent="0.2">
      <c r="A2" s="14" t="s">
        <v>23</v>
      </c>
      <c r="B2" s="14" t="s">
        <v>24</v>
      </c>
      <c r="C2" s="14" t="s">
        <v>25</v>
      </c>
      <c r="D2" s="14" t="s">
        <v>26</v>
      </c>
    </row>
    <row r="3" spans="1:4" x14ac:dyDescent="0.2">
      <c r="A3" s="11" t="s">
        <v>56</v>
      </c>
      <c r="B3" s="11" t="s">
        <v>38</v>
      </c>
      <c r="C3" s="11" t="s">
        <v>39</v>
      </c>
      <c r="D3" s="11" t="s">
        <v>38</v>
      </c>
    </row>
    <row r="4" spans="1:4" x14ac:dyDescent="0.2">
      <c r="A4" s="11" t="s">
        <v>57</v>
      </c>
      <c r="B4" s="11" t="s">
        <v>52</v>
      </c>
      <c r="C4" s="11" t="s">
        <v>49</v>
      </c>
      <c r="D4" s="11" t="s">
        <v>52</v>
      </c>
    </row>
    <row r="5" spans="1:4" x14ac:dyDescent="0.2">
      <c r="A5" s="11" t="s">
        <v>37</v>
      </c>
      <c r="B5" s="11" t="s">
        <v>53</v>
      </c>
      <c r="C5" s="11" t="s">
        <v>50</v>
      </c>
      <c r="D5" s="11" t="s">
        <v>53</v>
      </c>
    </row>
    <row r="6" spans="1:4" x14ac:dyDescent="0.2">
      <c r="A6" s="11" t="s">
        <v>58</v>
      </c>
      <c r="B6" s="11" t="s">
        <v>54</v>
      </c>
      <c r="C6" s="11" t="s">
        <v>51</v>
      </c>
      <c r="D6" s="11" t="s">
        <v>54</v>
      </c>
    </row>
    <row r="7" spans="1:4" x14ac:dyDescent="0.2">
      <c r="A7" s="11" t="s">
        <v>51</v>
      </c>
      <c r="B7" s="11" t="s">
        <v>51</v>
      </c>
      <c r="D7" s="11" t="s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 Me</vt:lpstr>
      <vt:lpstr>Team</vt:lpstr>
      <vt:lpstr>Data</vt:lpstr>
      <vt:lpstr>Chart counts</vt:lpstr>
      <vt:lpstr>Vocabularies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Anshuman Sahoo</cp:lastModifiedBy>
  <dcterms:created xsi:type="dcterms:W3CDTF">2026-09-16T11:13:46Z</dcterms:created>
  <dcterms:modified xsi:type="dcterms:W3CDTF">2026-09-21T08:14:04Z</dcterms:modified>
</cp:coreProperties>
</file>